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K Видео" sheetId="1" r:id="rId5"/>
    <sheet state="visible" name="MAX" sheetId="2" r:id="rId6"/>
    <sheet state="visible" name="VK Видео_Темы" sheetId="3" r:id="rId7"/>
  </sheets>
  <definedNames/>
  <calcPr/>
</workbook>
</file>

<file path=xl/sharedStrings.xml><?xml version="1.0" encoding="utf-8"?>
<sst xmlns="http://schemas.openxmlformats.org/spreadsheetml/2006/main" count="209" uniqueCount="166">
  <si>
    <t>2.1 драйв и азарт</t>
  </si>
  <si>
    <t>2.2 переживать за героев</t>
  </si>
  <si>
    <t>2.3 узнать новое</t>
  </si>
  <si>
    <t>2.4 отключить голову</t>
  </si>
  <si>
    <t>1.1 сериал</t>
  </si>
  <si>
    <t>Кино 3
Игры/авто 2
Музыка 1</t>
  </si>
  <si>
    <t>Кино 2
Спорт 2
Музыка 1
Культура 1</t>
  </si>
  <si>
    <t>Кино 2
Новости/бизнес 2
Музыка 1
Наука 1</t>
  </si>
  <si>
    <t>Музыка 3
Кино 2
Шоу 1</t>
  </si>
  <si>
    <t>1.2 стендап</t>
  </si>
  <si>
    <t>Игры/авто 3
Шоу 2
Кино 1</t>
  </si>
  <si>
    <t>Шоу 2
Спорт 2
Игры/авто 1
Культура 1</t>
  </si>
  <si>
    <t>Шоу 2
Новости/бизнес 2
Игры/авто 1
Наука 1</t>
  </si>
  <si>
    <t>Шоу 3
Музыка 2
Игры/авто 1</t>
  </si>
  <si>
    <t>1.3 интервью</t>
  </si>
  <si>
    <t>Культура 2
Игры/авто 2
Новости/бизнес 1
Кино 1</t>
  </si>
  <si>
    <t>Культура 3
Спорт 2
Новости/бизнес 1</t>
  </si>
  <si>
    <t>Новости/бизнес 3
Культура 2
Наука 1</t>
  </si>
  <si>
    <t>Культура 2
Музыка 2
Новости/бизнес 1
Шоу 1</t>
  </si>
  <si>
    <t>1.4 документалка</t>
  </si>
  <si>
    <t>Наука 2
Игры/авто 2
Спорт 1
Кино 1</t>
  </si>
  <si>
    <t>Спорт 3
Наука 2
Культура 1</t>
  </si>
  <si>
    <t>Наука 3
Новости/бизнес 2
Спорт 1</t>
  </si>
  <si>
    <t>Наука 2
Музыка 2
Спорт 1
Шоу 1</t>
  </si>
  <si>
    <t>№</t>
  </si>
  <si>
    <t>Ответ</t>
  </si>
  <si>
    <t>Сюрприз Discovery</t>
  </si>
  <si>
    <t>Что-то похожее на то, что я уже люблю</t>
  </si>
  <si>
    <t>По одному видео из Топ 2 тематик для пользователя</t>
  </si>
  <si>
    <t>Новое, но по теме моих интересов</t>
  </si>
  <si>
    <t>Дополнительное видео из тематики 3 или 4</t>
  </si>
  <si>
    <t>Хочу стать героем VK Видео</t>
  </si>
  <si>
    <t>Формируется пул обложек с учетом выбранных тематик, на которых размещен образ пользователя</t>
  </si>
  <si>
    <t>То, чем прямо сейчас увлечены все</t>
  </si>
  <si>
    <t>Самое популярное видео за последние 7 дней из каталога согласованных видео</t>
  </si>
  <si>
    <t>Определение весов 2 или 1</t>
  </si>
  <si>
    <t>Новый сериал, который все обсуждают</t>
  </si>
  <si>
    <t>Кино</t>
  </si>
  <si>
    <t>Музыка</t>
  </si>
  <si>
    <t>Стендап или что-нибудь смешное</t>
  </si>
  <si>
    <t>Медиа и шоу</t>
  </si>
  <si>
    <t>Вопрос</t>
  </si>
  <si>
    <t>Игры и авто</t>
  </si>
  <si>
    <t>Интервью с интересным человеком</t>
  </si>
  <si>
    <t>Культура и образование</t>
  </si>
  <si>
    <t>Новости и бизнес</t>
  </si>
  <si>
    <t>Документалку или научпоп</t>
  </si>
  <si>
    <t>Наука</t>
  </si>
  <si>
    <t>Спорт</t>
  </si>
  <si>
    <t>Чтобы был драйв и азарт</t>
  </si>
  <si>
    <t>Чтобы переживать за героев</t>
  </si>
  <si>
    <t>Чтобы узнать что-то новое</t>
  </si>
  <si>
    <t>Чтобы отключить голову и отдохнуть</t>
  </si>
  <si>
    <t>Вариант ответа</t>
  </si>
  <si>
    <t>Метаданные 1</t>
  </si>
  <si>
    <t>Метаданные 2</t>
  </si>
  <si>
    <t>Метаданные 3</t>
  </si>
  <si>
    <t>Метаданные 4</t>
  </si>
  <si>
    <t>Метаданные 5</t>
  </si>
  <si>
    <t>Метаданные 6</t>
  </si>
  <si>
    <t>Метаданные 7</t>
  </si>
  <si>
    <t>Метаданные 8</t>
  </si>
  <si>
    <t>Тематики</t>
  </si>
  <si>
    <t>У вас внезапно освободился вечер. Что включаем?</t>
  </si>
  <si>
    <t>Какие возможности ты хочешь освоить?</t>
  </si>
  <si>
    <t>Для бизнеса</t>
  </si>
  <si>
    <t>обсуждения</t>
  </si>
  <si>
    <t>бизнес</t>
  </si>
  <si>
    <t>сериал</t>
  </si>
  <si>
    <t>MAX для бизнеса</t>
  </si>
  <si>
    <t>премьера</t>
  </si>
  <si>
    <t>бизнес-аккаунт</t>
  </si>
  <si>
    <t>популярное</t>
  </si>
  <si>
    <t>клиенты</t>
  </si>
  <si>
    <t>продажи</t>
  </si>
  <si>
    <t>поддержка клиентов</t>
  </si>
  <si>
    <t>автоматизация</t>
  </si>
  <si>
    <t>продвижение</t>
  </si>
  <si>
    <t>шоу</t>
  </si>
  <si>
    <t>Для личного пользования</t>
  </si>
  <si>
    <t>стендап</t>
  </si>
  <si>
    <t>комфорт</t>
  </si>
  <si>
    <t>повседневность</t>
  </si>
  <si>
    <t>юмор</t>
  </si>
  <si>
    <t>семья</t>
  </si>
  <si>
    <t>комедия</t>
  </si>
  <si>
    <t>друзья</t>
  </si>
  <si>
    <t>задачи</t>
  </si>
  <si>
    <t>близкие</t>
  </si>
  <si>
    <t>жизнь</t>
  </si>
  <si>
    <t>подкаст</t>
  </si>
  <si>
    <t>безопасность</t>
  </si>
  <si>
    <t>новости</t>
  </si>
  <si>
    <t>интервью</t>
  </si>
  <si>
    <t>люди</t>
  </si>
  <si>
    <t>Какой цели хочешь достичь?</t>
  </si>
  <si>
    <t>Упростить идентификацию</t>
  </si>
  <si>
    <t>Цифровой ID</t>
  </si>
  <si>
    <t>наука</t>
  </si>
  <si>
    <t>идентификация</t>
  </si>
  <si>
    <t>знания</t>
  </si>
  <si>
    <t>удобство</t>
  </si>
  <si>
    <t>документальное кино</t>
  </si>
  <si>
    <t>документы</t>
  </si>
  <si>
    <t>научпоп</t>
  </si>
  <si>
    <t>доступ</t>
  </si>
  <si>
    <t>льготы</t>
  </si>
  <si>
    <t>данные</t>
  </si>
  <si>
    <t>Каким должен быть идеальный контент на вечер?</t>
  </si>
  <si>
    <t>надежность</t>
  </si>
  <si>
    <t>драйв</t>
  </si>
  <si>
    <t>азарт</t>
  </si>
  <si>
    <t>игры</t>
  </si>
  <si>
    <t>Быть на связи 24/7</t>
  </si>
  <si>
    <t>авто</t>
  </si>
  <si>
    <t>чаты</t>
  </si>
  <si>
    <t>видеозвонки</t>
  </si>
  <si>
    <t>аудиозвонки</t>
  </si>
  <si>
    <t>голосовые</t>
  </si>
  <si>
    <t>скорость</t>
  </si>
  <si>
    <t>переживания</t>
  </si>
  <si>
    <t>связь</t>
  </si>
  <si>
    <t>чувства</t>
  </si>
  <si>
    <t>герои</t>
  </si>
  <si>
    <t>файлы</t>
  </si>
  <si>
    <t>эмоции</t>
  </si>
  <si>
    <t>стабильность</t>
  </si>
  <si>
    <t>Повысить узнаваемость</t>
  </si>
  <si>
    <t>культура</t>
  </si>
  <si>
    <t>узнаваемость</t>
  </si>
  <si>
    <t>обучение</t>
  </si>
  <si>
    <t>аудитория</t>
  </si>
  <si>
    <t>факты</t>
  </si>
  <si>
    <t>канал</t>
  </si>
  <si>
    <t>контент</t>
  </si>
  <si>
    <t>публикации</t>
  </si>
  <si>
    <t>цели</t>
  </si>
  <si>
    <t>инструменты</t>
  </si>
  <si>
    <t>статистика</t>
  </si>
  <si>
    <t>музыка</t>
  </si>
  <si>
    <t>медиа</t>
  </si>
  <si>
    <t>отдых</t>
  </si>
  <si>
    <t>лёгкий контент</t>
  </si>
  <si>
    <t>Рекомендации Discovery решили немного вас удивить. Что показывать?</t>
  </si>
  <si>
    <t>рекомендации</t>
  </si>
  <si>
    <t>для меня</t>
  </si>
  <si>
    <t>персонализация</t>
  </si>
  <si>
    <t>увлечения</t>
  </si>
  <si>
    <t>новинки</t>
  </si>
  <si>
    <t>лайки</t>
  </si>
  <si>
    <t>интересы</t>
  </si>
  <si>
    <t>темы</t>
  </si>
  <si>
    <t>образ</t>
  </si>
  <si>
    <t>VK Видео</t>
  </si>
  <si>
    <t>главный герой</t>
  </si>
  <si>
    <t>роль</t>
  </si>
  <si>
    <t>тренды</t>
  </si>
  <si>
    <t>яркое</t>
  </si>
  <si>
    <t>все</t>
  </si>
  <si>
    <t>топ-5</t>
  </si>
  <si>
    <t>Сделаем фото?</t>
  </si>
  <si>
    <t>Да, давайте</t>
  </si>
  <si>
    <t>ракурс</t>
  </si>
  <si>
    <t>освещение</t>
  </si>
  <si>
    <t>композиция</t>
  </si>
  <si>
    <t>обработка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</si>
</sst>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1.0"/>
      <color rgb="FF000000"/>
      <name val="Carlito"/>
      <scheme val="minor"/>
    </font>
    <font>
      <color theme="1"/>
      <name val="Carlito"/>
      <scheme val="minor"/>
    </font>
    <font>
      <b/>
      <sz val="9.0"/>
      <color rgb="FF000000"/>
      <name val="Arial"/>
    </font>
    <font>
      <sz val="9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0.0"/>
      <color rgb="FF000000"/>
      <name val="Arial"/>
    </font>
    <font>
      <sz val="10.0"/>
      <color rgb="FF20252B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3F7FA"/>
        <bgColor rgb="FFF3F7FA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left" readingOrder="0" shrinkToFit="0" wrapText="1"/>
    </xf>
    <xf borderId="0" fillId="0" fontId="5" numFmtId="49" xfId="0" applyAlignment="1" applyFont="1" applyNumberFormat="1">
      <alignment horizontal="left" shrinkToFit="0" wrapText="1"/>
    </xf>
    <xf borderId="1" fillId="3" fontId="6" numFmtId="49" xfId="0" applyAlignment="1" applyBorder="1" applyFill="1" applyFont="1" applyNumberForma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readingOrder="0" shrinkToFit="0" vertical="center" wrapText="1"/>
    </xf>
    <xf borderId="0" fillId="0" fontId="7" numFmtId="0" xfId="0" applyFont="1"/>
    <xf borderId="0" fillId="3" fontId="6" numFmtId="0" xfId="0" applyAlignment="1" applyFill="1" applyFont="1">
      <alignment horizontal="center" readingOrder="0" shrinkToFit="0" vertical="center" wrapText="1"/>
    </xf>
    <xf borderId="1" fillId="3" fontId="7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shrinkToFit="0" vertical="top" wrapText="1"/>
    </xf>
    <xf borderId="1" fillId="4" fontId="7" numFmtId="0" xfId="0" applyAlignment="1" applyBorder="1" applyFill="1" applyFont="1">
      <alignment readingOrder="0" shrinkToFit="0" vertical="top" wrapText="1"/>
    </xf>
    <xf borderId="0" fillId="4" fontId="7" numFmtId="0" xfId="0" applyAlignment="1" applyFill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4" fontId="7" numFmtId="0" xfId="0" applyAlignment="1" applyFill="1" applyFon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6" fontId="7" numFmtId="0" xfId="0" applyAlignment="1" applyBorder="1" applyFill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1" fillId="3" fontId="7" numFmtId="0" xfId="0" applyAlignment="1" applyBorder="1" applyFill="1" applyFont="1">
      <alignment readingOrder="0" shrinkToFit="0" vertical="top" wrapText="1"/>
    </xf>
    <xf borderId="0" fillId="3" fontId="7" numFmtId="0" xfId="0" applyAlignment="1" applyFill="1" applyFont="1">
      <alignment readingOrder="0" shrinkToFit="0" vertical="top" wrapText="1"/>
    </xf>
    <xf borderId="0" fillId="5" fontId="7" numFmtId="0" xfId="0" applyAlignment="1" applyFill="1" applyFont="1">
      <alignment shrinkToFit="0" vertical="top" wrapText="1"/>
    </xf>
    <xf borderId="0" fillId="3" fontId="7" numFmtId="0" xfId="0" applyAlignment="1" applyFill="1" applyFont="1">
      <alignment readingOrder="0" shrinkToFit="0" vertical="top" wrapText="1"/>
    </xf>
    <xf borderId="0" fillId="3" fontId="7" numFmtId="0" xfId="0" applyAlignment="1" applyFill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VK Видео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VkMetadataTable" name="VkMetadataTable" id="2">
  <tableColumns count="7">
    <tableColumn name="Вопрос" id="1"/>
    <tableColumn name="Вариант ответа" id="2"/>
    <tableColumn name="Метаданные 1" id="3"/>
    <tableColumn name="Метаданные 2" id="4"/>
    <tableColumn name="Метаданные 3" id="5"/>
    <tableColumn name="Метаданные 4" id="6"/>
    <tableColumn name="Тематики" id="7"/>
  </tableColumns>
  <tableStyleInfo name="VK Видео-style" showColumnStripes="0" showFirstColumn="1" showLastColumn="1" showRowStripes="1"/>
</table>
</file>

<file path=xl/tables/table2.xml><?xml version="1.0" encoding="utf-8"?>
<table xmlns="http://schemas.openxmlformats.org/spreadsheetml/2006/main" ref="A1:J6" displayName="MaxMetadataTable" name="MaxMetadataTable" id="1">
  <tableColumns count="10">
    <tableColumn name="Вопрос" id="1"/>
    <tableColumn name="Вариант ответа" id="2"/>
    <tableColumn name="Метаданные 1" id="3"/>
    <tableColumn name="Метаданные 2" id="4"/>
    <tableColumn name="Метаданные 3" id="5"/>
    <tableColumn name="Метаданные 4" id="6"/>
    <tableColumn name="Метаданные 5" id="7"/>
    <tableColumn name="Метаданные 6" id="8"/>
    <tableColumn name="Метаданные 7" id="9"/>
    <tableColumn name="Метаданные 8" id="10"/>
  </tableColumns>
  <tableStyleInfo name="MA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24D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9.63"/>
    <col customWidth="1" min="2" max="2" width="34.25"/>
    <col customWidth="1" min="3" max="6" width="23.0"/>
    <col customWidth="1" min="7" max="7" width="37.25"/>
    <col customWidth="1" min="8" max="21" width="8.63"/>
  </cols>
  <sheetData>
    <row r="1" ht="33.75" customHeight="1">
      <c r="A1" s="10" t="s">
        <v>41</v>
      </c>
      <c r="B1" s="10" t="s">
        <v>53</v>
      </c>
      <c r="C1" s="10" t="s">
        <v>54</v>
      </c>
      <c r="D1" s="10" t="s">
        <v>55</v>
      </c>
      <c r="E1" s="10" t="s">
        <v>56</v>
      </c>
      <c r="F1" s="10" t="s">
        <v>57</v>
      </c>
      <c r="G1" s="12" t="s">
        <v>62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ht="51.75" customHeight="1">
      <c r="A2" s="13" t="s">
        <v>63</v>
      </c>
      <c r="B2" s="14" t="s">
        <v>36</v>
      </c>
      <c r="C2" s="15" t="s">
        <v>66</v>
      </c>
      <c r="D2" s="14" t="s">
        <v>68</v>
      </c>
      <c r="E2" s="14" t="s">
        <v>70</v>
      </c>
      <c r="F2" s="15" t="s">
        <v>72</v>
      </c>
      <c r="G2" s="1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ht="51.75" customHeight="1">
      <c r="A3" s="13" t="s">
        <v>63</v>
      </c>
      <c r="B3" s="17" t="s">
        <v>39</v>
      </c>
      <c r="C3" s="18" t="s">
        <v>78</v>
      </c>
      <c r="D3" s="17" t="s">
        <v>80</v>
      </c>
      <c r="E3" s="17" t="s">
        <v>83</v>
      </c>
      <c r="F3" s="17" t="s">
        <v>85</v>
      </c>
      <c r="G3" s="19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ht="51.75" customHeight="1">
      <c r="A4" s="13" t="s">
        <v>63</v>
      </c>
      <c r="B4" s="14" t="s">
        <v>43</v>
      </c>
      <c r="C4" s="15" t="s">
        <v>90</v>
      </c>
      <c r="D4" s="15" t="s">
        <v>92</v>
      </c>
      <c r="E4" s="14" t="s">
        <v>93</v>
      </c>
      <c r="F4" s="14" t="s">
        <v>94</v>
      </c>
      <c r="G4" s="20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5" ht="51.75" customHeight="1">
      <c r="A5" s="13" t="s">
        <v>63</v>
      </c>
      <c r="B5" s="17" t="s">
        <v>46</v>
      </c>
      <c r="C5" s="18" t="s">
        <v>98</v>
      </c>
      <c r="D5" s="18" t="s">
        <v>100</v>
      </c>
      <c r="E5" s="17" t="s">
        <v>102</v>
      </c>
      <c r="F5" s="17" t="s">
        <v>104</v>
      </c>
      <c r="G5" s="19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</row>
    <row r="6" ht="51.75" customHeight="1">
      <c r="A6" s="21" t="s">
        <v>108</v>
      </c>
      <c r="B6" s="14" t="s">
        <v>49</v>
      </c>
      <c r="C6" s="15" t="s">
        <v>110</v>
      </c>
      <c r="D6" s="15" t="s">
        <v>111</v>
      </c>
      <c r="E6" s="15" t="s">
        <v>112</v>
      </c>
      <c r="F6" s="15" t="s">
        <v>114</v>
      </c>
      <c r="G6" s="16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ht="51.75" customHeight="1">
      <c r="A7" s="21" t="s">
        <v>108</v>
      </c>
      <c r="B7" s="17" t="s">
        <v>50</v>
      </c>
      <c r="C7" s="18" t="s">
        <v>120</v>
      </c>
      <c r="D7" s="18" t="s">
        <v>122</v>
      </c>
      <c r="E7" s="17" t="s">
        <v>123</v>
      </c>
      <c r="F7" s="17" t="s">
        <v>125</v>
      </c>
      <c r="G7" s="19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ht="51.75" customHeight="1">
      <c r="A8" s="21" t="s">
        <v>108</v>
      </c>
      <c r="B8" s="14" t="s">
        <v>51</v>
      </c>
      <c r="C8" s="15" t="s">
        <v>128</v>
      </c>
      <c r="D8" s="15" t="s">
        <v>130</v>
      </c>
      <c r="E8" s="15" t="s">
        <v>128</v>
      </c>
      <c r="F8" s="15" t="s">
        <v>132</v>
      </c>
      <c r="G8" s="16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ht="51.75" customHeight="1">
      <c r="A9" s="21" t="s">
        <v>108</v>
      </c>
      <c r="B9" s="17" t="s">
        <v>52</v>
      </c>
      <c r="C9" s="18" t="s">
        <v>139</v>
      </c>
      <c r="D9" s="18" t="s">
        <v>140</v>
      </c>
      <c r="E9" s="17" t="s">
        <v>141</v>
      </c>
      <c r="F9" s="17" t="s">
        <v>142</v>
      </c>
      <c r="G9" s="19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ht="51.75" customHeight="1">
      <c r="A10" s="22" t="s">
        <v>143</v>
      </c>
      <c r="B10" s="14" t="s">
        <v>27</v>
      </c>
      <c r="C10" s="15" t="s">
        <v>144</v>
      </c>
      <c r="D10" s="15" t="s">
        <v>145</v>
      </c>
      <c r="E10" s="14" t="s">
        <v>146</v>
      </c>
      <c r="F10" s="15" t="s">
        <v>147</v>
      </c>
      <c r="G10" s="16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ht="51.75" customHeight="1">
      <c r="A11" s="22" t="s">
        <v>143</v>
      </c>
      <c r="B11" s="17" t="s">
        <v>29</v>
      </c>
      <c r="C11" s="17" t="s">
        <v>148</v>
      </c>
      <c r="D11" s="18" t="s">
        <v>149</v>
      </c>
      <c r="E11" s="18" t="s">
        <v>150</v>
      </c>
      <c r="F11" s="18" t="s">
        <v>151</v>
      </c>
      <c r="G11" s="2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ht="51.75" customHeight="1">
      <c r="A12" s="22" t="s">
        <v>143</v>
      </c>
      <c r="B12" s="14" t="s">
        <v>31</v>
      </c>
      <c r="C12" s="15" t="s">
        <v>152</v>
      </c>
      <c r="D12" s="15" t="s">
        <v>153</v>
      </c>
      <c r="E12" s="14" t="s">
        <v>154</v>
      </c>
      <c r="F12" s="15" t="s">
        <v>155</v>
      </c>
      <c r="G12" s="16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ht="51.75" customHeight="1">
      <c r="A13" s="22" t="s">
        <v>143</v>
      </c>
      <c r="B13" s="17" t="s">
        <v>33</v>
      </c>
      <c r="C13" s="17" t="s">
        <v>156</v>
      </c>
      <c r="D13" s="18" t="s">
        <v>157</v>
      </c>
      <c r="E13" s="18" t="s">
        <v>158</v>
      </c>
      <c r="F13" s="18" t="s">
        <v>159</v>
      </c>
      <c r="G13" s="2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ht="51.75" customHeight="1">
      <c r="A14" s="21" t="s">
        <v>160</v>
      </c>
      <c r="B14" s="24" t="s">
        <v>161</v>
      </c>
      <c r="C14" s="24" t="s">
        <v>162</v>
      </c>
      <c r="D14" s="13" t="s">
        <v>163</v>
      </c>
      <c r="E14" s="24" t="s">
        <v>164</v>
      </c>
      <c r="F14" s="24" t="s">
        <v>165</v>
      </c>
      <c r="G14" s="25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>
      <c r="A15" s="26"/>
      <c r="B15" s="27"/>
      <c r="C15" s="27"/>
      <c r="D15" s="28"/>
      <c r="E15" s="27"/>
      <c r="F15" s="27"/>
      <c r="G15" s="25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AA3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0"/>
    <col customWidth="1" min="2" max="2" width="14.0"/>
    <col customWidth="1" min="3" max="3" width="23.13"/>
    <col customWidth="1" min="4" max="4" width="17.38"/>
    <col customWidth="1" min="5" max="5" width="15.88"/>
    <col customWidth="1" min="6" max="6" width="16.25"/>
    <col customWidth="1" min="7" max="7" width="17.13"/>
    <col customWidth="1" min="8" max="8" width="16.88"/>
    <col customWidth="1" min="9" max="9" width="17.38"/>
    <col customWidth="1" min="10" max="10" width="18.0"/>
    <col customWidth="1" min="11" max="23" width="8.63"/>
  </cols>
  <sheetData>
    <row r="1" ht="33.75" customHeight="1">
      <c r="A1" s="9" t="s">
        <v>41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</row>
    <row r="2" ht="51.75" customHeight="1">
      <c r="A2" s="13" t="s">
        <v>64</v>
      </c>
      <c r="B2" s="14" t="s">
        <v>65</v>
      </c>
      <c r="C2" s="15" t="s">
        <v>67</v>
      </c>
      <c r="D2" s="14" t="s">
        <v>69</v>
      </c>
      <c r="E2" s="14" t="s">
        <v>71</v>
      </c>
      <c r="F2" s="14" t="s">
        <v>73</v>
      </c>
      <c r="G2" s="15" t="s">
        <v>74</v>
      </c>
      <c r="H2" s="14" t="s">
        <v>75</v>
      </c>
      <c r="I2" s="14" t="s">
        <v>76</v>
      </c>
      <c r="J2" s="14" t="s">
        <v>77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</row>
    <row r="3" ht="51.75" customHeight="1">
      <c r="A3" s="13" t="s">
        <v>64</v>
      </c>
      <c r="B3" s="17" t="s">
        <v>79</v>
      </c>
      <c r="C3" s="18" t="s">
        <v>81</v>
      </c>
      <c r="D3" s="18" t="s">
        <v>82</v>
      </c>
      <c r="E3" s="18" t="s">
        <v>84</v>
      </c>
      <c r="F3" s="18" t="s">
        <v>86</v>
      </c>
      <c r="G3" s="18" t="s">
        <v>87</v>
      </c>
      <c r="H3" s="17" t="s">
        <v>88</v>
      </c>
      <c r="I3" s="18" t="s">
        <v>89</v>
      </c>
      <c r="J3" s="17" t="s">
        <v>91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</row>
    <row r="4" ht="51.75" customHeight="1">
      <c r="A4" s="21" t="s">
        <v>95</v>
      </c>
      <c r="B4" s="14" t="s">
        <v>96</v>
      </c>
      <c r="C4" s="15" t="s">
        <v>97</v>
      </c>
      <c r="D4" s="15" t="s">
        <v>99</v>
      </c>
      <c r="E4" s="15" t="s">
        <v>101</v>
      </c>
      <c r="F4" s="14" t="s">
        <v>103</v>
      </c>
      <c r="G4" s="15" t="s">
        <v>105</v>
      </c>
      <c r="H4" s="15" t="s">
        <v>106</v>
      </c>
      <c r="I4" s="15" t="s">
        <v>107</v>
      </c>
      <c r="J4" s="15" t="s">
        <v>109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</row>
    <row r="5" ht="51.75" customHeight="1">
      <c r="A5" s="21" t="s">
        <v>95</v>
      </c>
      <c r="B5" s="17" t="s">
        <v>113</v>
      </c>
      <c r="C5" s="18" t="s">
        <v>115</v>
      </c>
      <c r="D5" s="18" t="s">
        <v>116</v>
      </c>
      <c r="E5" s="18" t="s">
        <v>117</v>
      </c>
      <c r="F5" s="18" t="s">
        <v>118</v>
      </c>
      <c r="G5" s="18" t="s">
        <v>119</v>
      </c>
      <c r="H5" s="18" t="s">
        <v>121</v>
      </c>
      <c r="I5" s="17" t="s">
        <v>124</v>
      </c>
      <c r="J5" s="18" t="s">
        <v>126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</row>
    <row r="6" ht="51.75" customHeight="1">
      <c r="A6" s="21" t="s">
        <v>95</v>
      </c>
      <c r="B6" s="14" t="s">
        <v>127</v>
      </c>
      <c r="C6" s="15" t="s">
        <v>129</v>
      </c>
      <c r="D6" s="15" t="s">
        <v>131</v>
      </c>
      <c r="E6" s="14" t="s">
        <v>133</v>
      </c>
      <c r="F6" s="14" t="s">
        <v>134</v>
      </c>
      <c r="G6" s="15" t="s">
        <v>135</v>
      </c>
      <c r="H6" s="15" t="s">
        <v>136</v>
      </c>
      <c r="I6" s="15" t="s">
        <v>137</v>
      </c>
      <c r="J6" s="14" t="s">
        <v>138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ht="15.75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ht="15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ht="15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ht="15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ht="15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ht="15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ht="15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ht="15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ht="15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ht="15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ht="15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ht="15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ht="15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ht="15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ht="15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ht="15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ht="15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ht="15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ht="15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ht="15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ht="15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ht="15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ht="15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20.75"/>
    <col customWidth="1" min="3" max="3" width="23.63"/>
    <col customWidth="1" min="4" max="4" width="22.75"/>
    <col customWidth="1" min="5" max="5" width="19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</row>
    <row r="4">
      <c r="A4" s="2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>
      <c r="A5" s="2" t="s">
        <v>19</v>
      </c>
      <c r="B5" s="3" t="s">
        <v>20</v>
      </c>
      <c r="C5" s="3" t="s">
        <v>21</v>
      </c>
      <c r="D5" s="3" t="s">
        <v>22</v>
      </c>
      <c r="E5" s="3" t="s">
        <v>23</v>
      </c>
    </row>
    <row r="9">
      <c r="A9" s="4" t="s">
        <v>24</v>
      </c>
      <c r="B9" s="4" t="s">
        <v>25</v>
      </c>
      <c r="C9" s="4" t="s">
        <v>26</v>
      </c>
    </row>
    <row r="10">
      <c r="A10" s="5">
        <v>46025.0</v>
      </c>
      <c r="B10" s="4" t="s">
        <v>27</v>
      </c>
      <c r="C10" s="4" t="s">
        <v>28</v>
      </c>
    </row>
    <row r="11">
      <c r="A11" s="5">
        <v>46056.0</v>
      </c>
      <c r="B11" s="4" t="s">
        <v>29</v>
      </c>
      <c r="C11" s="4" t="s">
        <v>30</v>
      </c>
    </row>
    <row r="12">
      <c r="A12" s="5">
        <v>46084.0</v>
      </c>
      <c r="B12" s="4" t="s">
        <v>31</v>
      </c>
      <c r="C12" s="4" t="s">
        <v>32</v>
      </c>
    </row>
    <row r="13">
      <c r="A13" s="5">
        <v>46115.0</v>
      </c>
      <c r="B13" s="4" t="s">
        <v>33</v>
      </c>
      <c r="C13" s="4" t="s">
        <v>34</v>
      </c>
    </row>
    <row r="16">
      <c r="A16" s="6" t="s">
        <v>35</v>
      </c>
    </row>
    <row r="17">
      <c r="A17" s="7" t="s">
        <v>24</v>
      </c>
      <c r="B17" s="7" t="s">
        <v>25</v>
      </c>
      <c r="C17" s="8" t="str">
        <f>"+2"</f>
        <v>+2</v>
      </c>
      <c r="D17" s="8" t="str">
        <f>"+1"</f>
        <v>+1</v>
      </c>
    </row>
    <row r="18">
      <c r="A18" s="5">
        <v>46023.0</v>
      </c>
      <c r="B18" s="4" t="s">
        <v>36</v>
      </c>
      <c r="C18" s="4" t="s">
        <v>37</v>
      </c>
      <c r="D18" s="4" t="s">
        <v>38</v>
      </c>
    </row>
    <row r="19">
      <c r="A19" s="5">
        <v>46054.0</v>
      </c>
      <c r="B19" s="4" t="s">
        <v>39</v>
      </c>
      <c r="C19" s="4" t="s">
        <v>40</v>
      </c>
      <c r="D19" s="4" t="s">
        <v>42</v>
      </c>
    </row>
    <row r="20">
      <c r="A20" s="5">
        <v>46082.0</v>
      </c>
      <c r="B20" s="4" t="s">
        <v>43</v>
      </c>
      <c r="C20" s="4" t="s">
        <v>44</v>
      </c>
      <c r="D20" s="4" t="s">
        <v>45</v>
      </c>
    </row>
    <row r="21">
      <c r="A21" s="5">
        <v>46113.0</v>
      </c>
      <c r="B21" s="4" t="s">
        <v>46</v>
      </c>
      <c r="C21" s="4" t="s">
        <v>47</v>
      </c>
      <c r="D21" s="4" t="s">
        <v>48</v>
      </c>
    </row>
    <row r="23">
      <c r="A23" s="7" t="s">
        <v>24</v>
      </c>
      <c r="B23" s="7" t="s">
        <v>25</v>
      </c>
      <c r="C23" s="8" t="str">
        <f>"+2"</f>
        <v>+2</v>
      </c>
      <c r="D23" s="8" t="str">
        <f>"+1"</f>
        <v>+1</v>
      </c>
    </row>
    <row r="24">
      <c r="A24" s="5">
        <v>46024.0</v>
      </c>
      <c r="B24" s="4" t="s">
        <v>49</v>
      </c>
      <c r="C24" s="4" t="s">
        <v>42</v>
      </c>
      <c r="D24" s="4" t="s">
        <v>37</v>
      </c>
    </row>
    <row r="25">
      <c r="A25" s="5">
        <v>46055.0</v>
      </c>
      <c r="B25" s="4" t="s">
        <v>50</v>
      </c>
      <c r="C25" s="4" t="s">
        <v>48</v>
      </c>
      <c r="D25" s="4" t="s">
        <v>44</v>
      </c>
    </row>
    <row r="26">
      <c r="A26" s="5">
        <v>46083.0</v>
      </c>
      <c r="B26" s="4" t="s">
        <v>51</v>
      </c>
      <c r="C26" s="4" t="s">
        <v>45</v>
      </c>
      <c r="D26" s="4" t="s">
        <v>47</v>
      </c>
    </row>
    <row r="27">
      <c r="A27" s="5">
        <v>46114.0</v>
      </c>
      <c r="B27" s="4" t="s">
        <v>52</v>
      </c>
      <c r="C27" s="4" t="s">
        <v>38</v>
      </c>
      <c r="D27" s="4" t="s">
        <v>40</v>
      </c>
    </row>
  </sheetData>
  <drawing r:id="rId1"/>
</worksheet>
</file>